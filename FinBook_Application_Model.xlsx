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Customers Master" state="visible" r:id="rId5"/>
    <sheet sheetId="3" name="Loan Accounts" state="visible" r:id="rId6"/>
    <sheet sheetId="4" name="General Ledger" state="visible" r:id="rId7"/>
    <sheet sheetId="5" name="Amortization Calculator" state="visible" r:id="rId8"/>
  </sheets>
  <calcPr calcId="171027"/>
</workbook>
</file>

<file path=xl/sharedStrings.xml><?xml version="1.0" encoding="utf-8"?>
<sst xmlns="http://schemas.openxmlformats.org/spreadsheetml/2006/main" count="67" uniqueCount="58">
  <si>
    <t>FinBook Analytics Dashboard</t>
  </si>
  <si>
    <t>Total Active Loans</t>
  </si>
  <si>
    <t>Total Portfolio Value</t>
  </si>
  <si>
    <t>Total Collected (YTD)</t>
  </si>
  <si>
    <t>Cust ID</t>
  </si>
  <si>
    <t>Name</t>
  </si>
  <si>
    <t>Phone</t>
  </si>
  <si>
    <t>Aadhaar</t>
  </si>
  <si>
    <t>PAN</t>
  </si>
  <si>
    <t>CUST-001</t>
  </si>
  <si>
    <t>John Doe</t>
  </si>
  <si>
    <t>9876543210</t>
  </si>
  <si>
    <t>1234-5678-9012</t>
  </si>
  <si>
    <t>ABCDE1234F</t>
  </si>
  <si>
    <t>CUST-002</t>
  </si>
  <si>
    <t>Jane Smith</t>
  </si>
  <si>
    <t>9876543211</t>
  </si>
  <si>
    <t>9876-5432-1098</t>
  </si>
  <si>
    <t>FGHIJ5678K</t>
  </si>
  <si>
    <t>CUST-003</t>
  </si>
  <si>
    <t>Ravi Kumar</t>
  </si>
  <si>
    <t>9876543212</t>
  </si>
  <si>
    <t>5555-6666-7777</t>
  </si>
  <si>
    <t>LMNOP9012Q</t>
  </si>
  <si>
    <t>Loan ID</t>
  </si>
  <si>
    <t>Principal</t>
  </si>
  <si>
    <t>Rate (%)</t>
  </si>
  <si>
    <t>Term (Mo)</t>
  </si>
  <si>
    <t>Proc. Fee</t>
  </si>
  <si>
    <t>Disbursed</t>
  </si>
  <si>
    <t>Status</t>
  </si>
  <si>
    <t>LOAN-1001</t>
  </si>
  <si>
    <t>Active</t>
  </si>
  <si>
    <t>LOAN-1002</t>
  </si>
  <si>
    <t>Payment ID</t>
  </si>
  <si>
    <t>Date</t>
  </si>
  <si>
    <t>Amount Paid</t>
  </si>
  <si>
    <t>Interest</t>
  </si>
  <si>
    <t>Late Fee</t>
  </si>
  <si>
    <t>PAY-501</t>
  </si>
  <si>
    <t>2023-01-05</t>
  </si>
  <si>
    <t>PAY-502</t>
  </si>
  <si>
    <t>2023-02-05</t>
  </si>
  <si>
    <t>FinBook Interactive Calculator</t>
  </si>
  <si>
    <t>Principal Amount:</t>
  </si>
  <si>
    <t>Instructions:</t>
  </si>
  <si>
    <t>Annual Interest Rate (%):</t>
  </si>
  <si>
    <t>1. Change highlighted yellow cells to update loan logic.</t>
  </si>
  <si>
    <t>Term (Months):</t>
  </si>
  <si>
    <t>2. To simulate prepayments, manually overwrite the "Actual Paid" column for any month.</t>
  </si>
  <si>
    <t>3. The table automatically adjusts interest and closes early.</t>
  </si>
  <si>
    <t>Calculated EMI:</t>
  </si>
  <si>
    <t>Month</t>
  </si>
  <si>
    <t>Opening Balance</t>
  </si>
  <si>
    <t>Standard EMI</t>
  </si>
  <si>
    <t>Actual Paid (Inc. Prepay/Late)</t>
  </si>
  <si>
    <t>Principal Component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</si>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</sst>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5" x14ac:knownFonts="1">
    <font>
      <color theme="1"/>
      <family val="2"/>
      <scheme val="minor"/>
      <sz val="11"/>
      <name val="Calibri"/>
    </font>
    <font>
      <b/>
      <color rgb="FFFFFFFF"/>
      <sz val="20"/>
    </font>
    <font>
      <b/>
    </font>
    <font>
      <b/>
      <sz val="16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04B87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0" borderId="0" xfId="0" applyFont="1"/>
    <xf numFmtId="164" fontId="3" fillId="0" borderId="0" xfId="0" applyNumberFormat="1" applyFont="1"/>
    <xf numFmtId="164" fontId="0" fillId="3" borderId="0" xfId="0" applyNumberFormat="1" applyFill="1"/>
    <xf numFmtId="164" fontId="2" fillId="0" borderId="0" xfId="0" applyNumberFormat="1" applyFont="1"/>
    <xf numFmtId="0" fontId="4" fillId="2" borderId="0" xfId="0" applyFont="1" applyFill="1"/>
    <xf numFmtId="164" fontId="4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5" customWidth="1"/>
    <col min="2" max="2" width="2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2" x14ac:dyDescent="0.25">
      <c r="A4" t="s">
        <v>1</v>
      </c>
      <c r="B4">
        <v>45</v>
      </c>
    </row>
    <row r="5" spans="1:2" x14ac:dyDescent="0.25">
      <c r="A5" t="s">
        <v>2</v>
      </c>
      <c r="B5" s="2">
        <v>4500000</v>
      </c>
    </row>
    <row r="6" spans="1:2" x14ac:dyDescent="0.25">
      <c r="A6" t="s">
        <v>3</v>
      </c>
      <c r="B6" s="2">
        <v>1250000</v>
      </c>
    </row>
  </sheetData>
  <mergeCells count="1">
    <mergeCell ref="A1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0" customWidth="1"/>
    <col min="2" max="2" width="25" customWidth="1"/>
    <col min="3" max="3" width="15" customWidth="1"/>
    <col min="4" max="4" width="20" customWidth="1"/>
    <col min="5" max="5" width="15" customWidth="1"/>
  </cols>
  <sheetData>
    <row r="1" spans="1:5" s="3" customFormat="1" x14ac:dyDescent="0.2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</row>
    <row r="2" spans="1:5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</row>
    <row r="3" spans="1:5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</row>
    <row r="4" spans="1:5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15" customWidth="1"/>
    <col min="2" max="2" width="10" customWidth="1"/>
    <col min="3" max="3" width="15" customWidth="1"/>
    <col min="4" max="5" width="10" customWidth="1"/>
    <col min="6" max="6" width="12" customWidth="1"/>
    <col min="7" max="8" width="15" customWidth="1"/>
  </cols>
  <sheetData>
    <row r="1" spans="1:8" s="3" customFormat="1" x14ac:dyDescent="0.25">
      <c r="A1" s="3" t="s">
        <v>24</v>
      </c>
      <c r="B1" s="3" t="s">
        <v>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x14ac:dyDescent="0.25">
      <c r="A2" t="s">
        <v>31</v>
      </c>
      <c r="B2" t="s">
        <v>9</v>
      </c>
      <c r="C2">
        <v>100000</v>
      </c>
      <c r="D2">
        <v>12</v>
      </c>
      <c r="E2">
        <v>12</v>
      </c>
      <c r="F2">
        <v>2000</v>
      </c>
      <c r="G2">
        <v>98000</v>
      </c>
      <c r="H2" t="s">
        <v>32</v>
      </c>
    </row>
    <row r="3" spans="1:8" x14ac:dyDescent="0.25">
      <c r="A3" t="s">
        <v>33</v>
      </c>
      <c r="B3" t="s">
        <v>14</v>
      </c>
      <c r="C3">
        <v>500000</v>
      </c>
      <c r="D3">
        <v>15</v>
      </c>
      <c r="E3">
        <v>24</v>
      </c>
      <c r="F3">
        <v>10000</v>
      </c>
      <c r="G3">
        <v>490000</v>
      </c>
      <c r="H3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7" width="15" customWidth="1"/>
  </cols>
  <sheetData>
    <row r="1" spans="1:7" s="3" customFormat="1" x14ac:dyDescent="0.25">
      <c r="A1" s="3" t="s">
        <v>34</v>
      </c>
      <c r="B1" s="3" t="s">
        <v>35</v>
      </c>
      <c r="C1" s="3" t="s">
        <v>24</v>
      </c>
      <c r="D1" s="3" t="s">
        <v>36</v>
      </c>
      <c r="E1" s="3" t="s">
        <v>25</v>
      </c>
      <c r="F1" s="3" t="s">
        <v>37</v>
      </c>
      <c r="G1" s="3" t="s">
        <v>38</v>
      </c>
    </row>
    <row r="2" spans="1:7" x14ac:dyDescent="0.25">
      <c r="A2" t="s">
        <v>39</v>
      </c>
      <c r="B2" t="s">
        <v>40</v>
      </c>
      <c r="C2" t="s">
        <v>31</v>
      </c>
      <c r="D2">
        <v>8885</v>
      </c>
      <c r="E2">
        <v>7885</v>
      </c>
      <c r="F2">
        <v>1000</v>
      </c>
      <c r="G2">
        <v>0</v>
      </c>
    </row>
    <row r="3" spans="1:7" x14ac:dyDescent="0.25">
      <c r="A3" t="s">
        <v>41</v>
      </c>
      <c r="B3" t="s">
        <v>42</v>
      </c>
      <c r="C3" t="s">
        <v>31</v>
      </c>
      <c r="D3">
        <v>9385</v>
      </c>
      <c r="E3">
        <v>8385</v>
      </c>
      <c r="F3">
        <v>500</v>
      </c>
      <c r="G3">
        <v>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FormatPr defaultRowHeight="15" outlineLevelRow="0" outlineLevelCol="0" x14ac:dyDescent="55"/>
  <cols>
    <col min="2" max="7" width="20" style="2" customWidth="1"/>
  </cols>
  <sheetData>
    <row r="1" spans="1:7" x14ac:dyDescent="0.25">
      <c r="A1" s="4" t="s">
        <v>43</v>
      </c>
      <c r="B1" s="4"/>
      <c r="C1" s="4"/>
      <c r="D1" s="4"/>
      <c r="E1" s="4"/>
      <c r="F1" s="4"/>
      <c r="G1" s="4"/>
    </row>
    <row r="3" spans="1:9" x14ac:dyDescent="0.25">
      <c r="A3" t="s">
        <v>44</v>
      </c>
      <c r="B3" s="5">
        <v>100000</v>
      </c>
      <c r="C3" s="2"/>
      <c r="D3" s="2"/>
      <c r="E3" s="2"/>
      <c r="F3" s="2"/>
      <c r="G3" s="2"/>
      <c r="I3" s="3" t="s">
        <v>45</v>
      </c>
    </row>
    <row r="4" spans="1:9" x14ac:dyDescent="0.25">
      <c r="A4" t="s">
        <v>46</v>
      </c>
      <c r="B4" s="5">
        <v>12</v>
      </c>
      <c r="C4" s="2"/>
      <c r="D4" s="2"/>
      <c r="E4" s="2"/>
      <c r="F4" s="2"/>
      <c r="G4" s="2"/>
      <c r="I4" t="s">
        <v>47</v>
      </c>
    </row>
    <row r="5" spans="1:9" x14ac:dyDescent="0.25">
      <c r="A5" t="s">
        <v>48</v>
      </c>
      <c r="B5" s="5">
        <v>12</v>
      </c>
      <c r="C5" s="2"/>
      <c r="D5" s="2"/>
      <c r="E5" s="2"/>
      <c r="F5" s="2"/>
      <c r="G5" s="2"/>
      <c r="I5" t="s">
        <v>49</v>
      </c>
    </row>
    <row r="6" spans="9:9" x14ac:dyDescent="0.25">
      <c r="I6" t="s">
        <v>50</v>
      </c>
    </row>
    <row r="7" spans="1:7" x14ac:dyDescent="0.25">
      <c r="A7" t="s">
        <v>51</v>
      </c>
      <c r="B7" s="6">
        <f>ROUND(-PMT(B4/1200, B5, B3), 0)</f>
      </c>
      <c r="C7" s="2"/>
      <c r="D7" s="2"/>
      <c r="E7" s="2"/>
      <c r="F7" s="2"/>
      <c r="G7" s="2"/>
    </row>
    <row r="9" spans="1:7" s="7" customFormat="1" x14ac:dyDescent="0.25">
      <c r="A9" s="7" t="s">
        <v>52</v>
      </c>
      <c r="B9" s="8" t="s">
        <v>53</v>
      </c>
      <c r="C9" s="8" t="s">
        <v>54</v>
      </c>
      <c r="D9" s="8" t="s">
        <v>55</v>
      </c>
      <c r="E9" s="8" t="s">
        <v>37</v>
      </c>
      <c r="F9" s="8" t="s">
        <v>56</v>
      </c>
      <c r="G9" s="8" t="s">
        <v>57</v>
      </c>
    </row>
    <row r="10" spans="1:7" x14ac:dyDescent="0.25">
      <c r="A10">
        <v>1</v>
      </c>
      <c r="B10" s="2">
        <f>B3</f>
      </c>
      <c r="C10" s="2">
        <f>$B$7</f>
      </c>
      <c r="D10" s="2">
        <f>C10</f>
      </c>
      <c r="E10" s="2">
        <f>ROUND(B10 * ($B$4/1200), 0)</f>
      </c>
      <c r="F10" s="2">
        <f>D10 - E10</f>
      </c>
      <c r="G10" s="2">
        <f>B10 - F10</f>
      </c>
    </row>
    <row r="11" spans="1:7" x14ac:dyDescent="0.25">
      <c r="A11">
        <f>IF(G10&gt;0, A10+1, "")</f>
      </c>
      <c r="B11" s="2">
        <f>IF(A11="", "", G10)</f>
      </c>
      <c r="C11" s="2">
        <f>IF(A11="", "", $B$7)</f>
      </c>
      <c r="D11" s="2">
        <f>IF(A11="", "", C11)</f>
      </c>
      <c r="E11" s="2">
        <f>IF(A11="", "", ROUND(B11 * ($B$4/1200), 0))</f>
      </c>
      <c r="F11" s="2">
        <f>IF(A11="", "", D11 - E11)</f>
      </c>
      <c r="G11" s="2">
        <f>IF(A11="", "", B11 - F11)</f>
      </c>
    </row>
    <row r="12" spans="1:7" x14ac:dyDescent="0.25">
      <c r="A12">
        <f>IF(G11&gt;0, A11+1, "")</f>
      </c>
      <c r="B12" s="2">
        <f>IF(A12="", "", G11)</f>
      </c>
      <c r="C12" s="2">
        <f>IF(A12="", "", $B$7)</f>
      </c>
      <c r="D12" s="2">
        <f>IF(A12="", "", C12)</f>
      </c>
      <c r="E12" s="2">
        <f>IF(A12="", "", ROUND(B12 * ($B$4/1200), 0))</f>
      </c>
      <c r="F12" s="2">
        <f>IF(A12="", "", D12 - E12)</f>
      </c>
      <c r="G12" s="2">
        <f>IF(A12="", "", B12 - F12)</f>
      </c>
    </row>
    <row r="13" spans="1:7" x14ac:dyDescent="0.25">
      <c r="A13">
        <f>IF(G12&gt;0, A12+1, "")</f>
      </c>
      <c r="B13" s="2">
        <f>IF(A13="", "", G12)</f>
      </c>
      <c r="C13" s="2">
        <f>IF(A13="", "", $B$7)</f>
      </c>
      <c r="D13" s="2">
        <f>IF(A13="", "", C13)</f>
      </c>
      <c r="E13" s="2">
        <f>IF(A13="", "", ROUND(B13 * ($B$4/1200), 0))</f>
      </c>
      <c r="F13" s="2">
        <f>IF(A13="", "", D13 - E13)</f>
      </c>
      <c r="G13" s="2">
        <f>IF(A13="", "", B13 - F13)</f>
      </c>
    </row>
    <row r="14" spans="1:7" x14ac:dyDescent="0.25">
      <c r="A14">
        <f>IF(G13&gt;0, A13+1, "")</f>
      </c>
      <c r="B14" s="2">
        <f>IF(A14="", "", G13)</f>
      </c>
      <c r="C14" s="2">
        <f>IF(A14="", "", $B$7)</f>
      </c>
      <c r="D14" s="2">
        <f>IF(A14="", "", C14)</f>
      </c>
      <c r="E14" s="2">
        <f>IF(A14="", "", ROUND(B14 * ($B$4/1200), 0))</f>
      </c>
      <c r="F14" s="2">
        <f>IF(A14="", "", D14 - E14)</f>
      </c>
      <c r="G14" s="2">
        <f>IF(A14="", "", B14 - F14)</f>
      </c>
    </row>
    <row r="15" spans="1:7" x14ac:dyDescent="0.25">
      <c r="A15">
        <f>IF(G14&gt;0, A14+1, "")</f>
      </c>
      <c r="B15" s="2">
        <f>IF(A15="", "", G14)</f>
      </c>
      <c r="C15" s="2">
        <f>IF(A15="", "", $B$7)</f>
      </c>
      <c r="D15" s="2">
        <f>IF(A15="", "", C15)</f>
      </c>
      <c r="E15" s="2">
        <f>IF(A15="", "", ROUND(B15 * ($B$4/1200), 0))</f>
      </c>
      <c r="F15" s="2">
        <f>IF(A15="", "", D15 - E15)</f>
      </c>
      <c r="G15" s="2">
        <f>IF(A15="", "", B15 - F15)</f>
      </c>
    </row>
    <row r="16" spans="1:7" x14ac:dyDescent="0.25">
      <c r="A16">
        <f>IF(G15&gt;0, A15+1, "")</f>
      </c>
      <c r="B16" s="2">
        <f>IF(A16="", "", G15)</f>
      </c>
      <c r="C16" s="2">
        <f>IF(A16="", "", $B$7)</f>
      </c>
      <c r="D16" s="2">
        <f>IF(A16="", "", C16)</f>
      </c>
      <c r="E16" s="2">
        <f>IF(A16="", "", ROUND(B16 * ($B$4/1200), 0))</f>
      </c>
      <c r="F16" s="2">
        <f>IF(A16="", "", D16 - E16)</f>
      </c>
      <c r="G16" s="2">
        <f>IF(A16="", "", B16 - F16)</f>
      </c>
    </row>
    <row r="17" spans="1:7" x14ac:dyDescent="0.25">
      <c r="A17">
        <f>IF(G16&gt;0, A16+1, "")</f>
      </c>
      <c r="B17" s="2">
        <f>IF(A17="", "", G16)</f>
      </c>
      <c r="C17" s="2">
        <f>IF(A17="", "", $B$7)</f>
      </c>
      <c r="D17" s="2">
        <f>IF(A17="", "", C17)</f>
      </c>
      <c r="E17" s="2">
        <f>IF(A17="", "", ROUND(B17 * ($B$4/1200), 0))</f>
      </c>
      <c r="F17" s="2">
        <f>IF(A17="", "", D17 - E17)</f>
      </c>
      <c r="G17" s="2">
        <f>IF(A17="", "", B17 - F17)</f>
      </c>
    </row>
    <row r="18" spans="1:7" x14ac:dyDescent="0.25">
      <c r="A18">
        <f>IF(G17&gt;0, A17+1, "")</f>
      </c>
      <c r="B18" s="2">
        <f>IF(A18="", "", G17)</f>
      </c>
      <c r="C18" s="2">
        <f>IF(A18="", "", $B$7)</f>
      </c>
      <c r="D18" s="2">
        <f>IF(A18="", "", C18)</f>
      </c>
      <c r="E18" s="2">
        <f>IF(A18="", "", ROUND(B18 * ($B$4/1200), 0))</f>
      </c>
      <c r="F18" s="2">
        <f>IF(A18="", "", D18 - E18)</f>
      </c>
      <c r="G18" s="2">
        <f>IF(A18="", "", B18 - F18)</f>
      </c>
    </row>
    <row r="19" spans="1:7" x14ac:dyDescent="0.25">
      <c r="A19">
        <f>IF(G18&gt;0, A18+1, "")</f>
      </c>
      <c r="B19" s="2">
        <f>IF(A19="", "", G18)</f>
      </c>
      <c r="C19" s="2">
        <f>IF(A19="", "", $B$7)</f>
      </c>
      <c r="D19" s="2">
        <f>IF(A19="", "", C19)</f>
      </c>
      <c r="E19" s="2">
        <f>IF(A19="", "", ROUND(B19 * ($B$4/1200), 0))</f>
      </c>
      <c r="F19" s="2">
        <f>IF(A19="", "", D19 - E19)</f>
      </c>
      <c r="G19" s="2">
        <f>IF(A19="", "", B19 - F19)</f>
      </c>
    </row>
    <row r="20" spans="1:7" x14ac:dyDescent="0.25">
      <c r="A20">
        <f>IF(G19&gt;0, A19+1, "")</f>
      </c>
      <c r="B20" s="2">
        <f>IF(A20="", "", G19)</f>
      </c>
      <c r="C20" s="2">
        <f>IF(A20="", "", $B$7)</f>
      </c>
      <c r="D20" s="2">
        <f>IF(A20="", "", C20)</f>
      </c>
      <c r="E20" s="2">
        <f>IF(A20="", "", ROUND(B20 * ($B$4/1200), 0))</f>
      </c>
      <c r="F20" s="2">
        <f>IF(A20="", "", D20 - E20)</f>
      </c>
      <c r="G20" s="2">
        <f>IF(A20="", "", B20 - F20)</f>
      </c>
    </row>
    <row r="21" spans="1:7" x14ac:dyDescent="0.25">
      <c r="A21">
        <f>IF(G20&gt;0, A20+1, "")</f>
      </c>
      <c r="B21" s="2">
        <f>IF(A21="", "", G20)</f>
      </c>
      <c r="C21" s="2">
        <f>IF(A21="", "", $B$7)</f>
      </c>
      <c r="D21" s="2">
        <f>IF(A21="", "", C21)</f>
      </c>
      <c r="E21" s="2">
        <f>IF(A21="", "", ROUND(B21 * ($B$4/1200), 0))</f>
      </c>
      <c r="F21" s="2">
        <f>IF(A21="", "", D21 - E21)</f>
      </c>
      <c r="G21" s="2">
        <f>IF(A21="", "", B21 - F21)</f>
      </c>
    </row>
    <row r="22" spans="1:7" x14ac:dyDescent="0.25">
      <c r="A22">
        <f>IF(G21&gt;0, A21+1, "")</f>
      </c>
      <c r="B22" s="2">
        <f>IF(A22="", "", G21)</f>
      </c>
      <c r="C22" s="2">
        <f>IF(A22="", "", $B$7)</f>
      </c>
      <c r="D22" s="2">
        <f>IF(A22="", "", C22)</f>
      </c>
      <c r="E22" s="2">
        <f>IF(A22="", "", ROUND(B22 * ($B$4/1200), 0))</f>
      </c>
      <c r="F22" s="2">
        <f>IF(A22="", "", D22 - E22)</f>
      </c>
      <c r="G22" s="2">
        <f>IF(A22="", "", B22 - F22)</f>
      </c>
    </row>
    <row r="23" spans="1:7" x14ac:dyDescent="0.25">
      <c r="A23">
        <f>IF(G22&gt;0, A22+1, "")</f>
      </c>
      <c r="B23" s="2">
        <f>IF(A23="", "", G22)</f>
      </c>
      <c r="C23" s="2">
        <f>IF(A23="", "", $B$7)</f>
      </c>
      <c r="D23" s="2">
        <f>IF(A23="", "", C23)</f>
      </c>
      <c r="E23" s="2">
        <f>IF(A23="", "", ROUND(B23 * ($B$4/1200), 0))</f>
      </c>
      <c r="F23" s="2">
        <f>IF(A23="", "", D23 - E23)</f>
      </c>
      <c r="G23" s="2">
        <f>IF(A23="", "", B23 - F23)</f>
      </c>
    </row>
    <row r="24" spans="1:7" x14ac:dyDescent="0.25">
      <c r="A24">
        <f>IF(G23&gt;0, A23+1, "")</f>
      </c>
      <c r="B24" s="2">
        <f>IF(A24="", "", G23)</f>
      </c>
      <c r="C24" s="2">
        <f>IF(A24="", "", $B$7)</f>
      </c>
      <c r="D24" s="2">
        <f>IF(A24="", "", C24)</f>
      </c>
      <c r="E24" s="2">
        <f>IF(A24="", "", ROUND(B24 * ($B$4/1200), 0))</f>
      </c>
      <c r="F24" s="2">
        <f>IF(A24="", "", D24 - E24)</f>
      </c>
      <c r="G24" s="2">
        <f>IF(A24="", "", B24 - F24)</f>
      </c>
    </row>
    <row r="25" spans="1:7" x14ac:dyDescent="0.25">
      <c r="A25">
        <f>IF(G24&gt;0, A24+1, "")</f>
      </c>
      <c r="B25" s="2">
        <f>IF(A25="", "", G24)</f>
      </c>
      <c r="C25" s="2">
        <f>IF(A25="", "", $B$7)</f>
      </c>
      <c r="D25" s="2">
        <f>IF(A25="", "", C25)</f>
      </c>
      <c r="E25" s="2">
        <f>IF(A25="", "", ROUND(B25 * ($B$4/1200), 0))</f>
      </c>
      <c r="F25" s="2">
        <f>IF(A25="", "", D25 - E25)</f>
      </c>
      <c r="G25" s="2">
        <f>IF(A25="", "", B25 - F25)</f>
      </c>
    </row>
    <row r="26" spans="1:7" x14ac:dyDescent="0.25">
      <c r="A26">
        <f>IF(G25&gt;0, A25+1, "")</f>
      </c>
      <c r="B26" s="2">
        <f>IF(A26="", "", G25)</f>
      </c>
      <c r="C26" s="2">
        <f>IF(A26="", "", $B$7)</f>
      </c>
      <c r="D26" s="2">
        <f>IF(A26="", "", C26)</f>
      </c>
      <c r="E26" s="2">
        <f>IF(A26="", "", ROUND(B26 * ($B$4/1200), 0))</f>
      </c>
      <c r="F26" s="2">
        <f>IF(A26="", "", D26 - E26)</f>
      </c>
      <c r="G26" s="2">
        <f>IF(A26="", "", B26 - F26)</f>
      </c>
    </row>
    <row r="27" spans="1:7" x14ac:dyDescent="0.25">
      <c r="A27">
        <f>IF(G26&gt;0, A26+1, "")</f>
      </c>
      <c r="B27" s="2">
        <f>IF(A27="", "", G26)</f>
      </c>
      <c r="C27" s="2">
        <f>IF(A27="", "", $B$7)</f>
      </c>
      <c r="D27" s="2">
        <f>IF(A27="", "", C27)</f>
      </c>
      <c r="E27" s="2">
        <f>IF(A27="", "", ROUND(B27 * ($B$4/1200), 0))</f>
      </c>
      <c r="F27" s="2">
        <f>IF(A27="", "", D27 - E27)</f>
      </c>
      <c r="G27" s="2">
        <f>IF(A27="", "", B27 - F27)</f>
      </c>
    </row>
    <row r="28" spans="1:7" x14ac:dyDescent="0.25">
      <c r="A28">
        <f>IF(G27&gt;0, A27+1, "")</f>
      </c>
      <c r="B28" s="2">
        <f>IF(A28="", "", G27)</f>
      </c>
      <c r="C28" s="2">
        <f>IF(A28="", "", $B$7)</f>
      </c>
      <c r="D28" s="2">
        <f>IF(A28="", "", C28)</f>
      </c>
      <c r="E28" s="2">
        <f>IF(A28="", "", ROUND(B28 * ($B$4/1200), 0))</f>
      </c>
      <c r="F28" s="2">
        <f>IF(A28="", "", D28 - E28)</f>
      </c>
      <c r="G28" s="2">
        <f>IF(A28="", "", B28 - F28)</f>
      </c>
    </row>
    <row r="29" spans="1:7" x14ac:dyDescent="0.25">
      <c r="A29">
        <f>IF(G28&gt;0, A28+1, "")</f>
      </c>
      <c r="B29" s="2">
        <f>IF(A29="", "", G28)</f>
      </c>
      <c r="C29" s="2">
        <f>IF(A29="", "", $B$7)</f>
      </c>
      <c r="D29" s="2">
        <f>IF(A29="", "", C29)</f>
      </c>
      <c r="E29" s="2">
        <f>IF(A29="", "", ROUND(B29 * ($B$4/1200), 0))</f>
      </c>
      <c r="F29" s="2">
        <f>IF(A29="", "", D29 - E29)</f>
      </c>
      <c r="G29" s="2">
        <f>IF(A29="", "", B29 - F29)</f>
      </c>
    </row>
    <row r="30" spans="1:7" x14ac:dyDescent="0.25">
      <c r="A30">
        <f>IF(G29&gt;0, A29+1, "")</f>
      </c>
      <c r="B30" s="2">
        <f>IF(A30="", "", G29)</f>
      </c>
      <c r="C30" s="2">
        <f>IF(A30="", "", $B$7)</f>
      </c>
      <c r="D30" s="2">
        <f>IF(A30="", "", C30)</f>
      </c>
      <c r="E30" s="2">
        <f>IF(A30="", "", ROUND(B30 * ($B$4/1200), 0))</f>
      </c>
      <c r="F30" s="2">
        <f>IF(A30="", "", D30 - E30)</f>
      </c>
      <c r="G30" s="2">
        <f>IF(A30="", "", B30 - F30)</f>
      </c>
    </row>
    <row r="31" spans="1:7" x14ac:dyDescent="0.25">
      <c r="A31">
        <f>IF(G30&gt;0, A30+1, "")</f>
      </c>
      <c r="B31" s="2">
        <f>IF(A31="", "", G30)</f>
      </c>
      <c r="C31" s="2">
        <f>IF(A31="", "", $B$7)</f>
      </c>
      <c r="D31" s="2">
        <f>IF(A31="", "", C31)</f>
      </c>
      <c r="E31" s="2">
        <f>IF(A31="", "", ROUND(B31 * ($B$4/1200), 0))</f>
      </c>
      <c r="F31" s="2">
        <f>IF(A31="", "", D31 - E31)</f>
      </c>
      <c r="G31" s="2">
        <f>IF(A31="", "", B31 - F31)</f>
      </c>
    </row>
    <row r="32" spans="1:7" x14ac:dyDescent="0.25">
      <c r="A32">
        <f>IF(G31&gt;0, A31+1, "")</f>
      </c>
      <c r="B32" s="2">
        <f>IF(A32="", "", G31)</f>
      </c>
      <c r="C32" s="2">
        <f>IF(A32="", "", $B$7)</f>
      </c>
      <c r="D32" s="2">
        <f>IF(A32="", "", C32)</f>
      </c>
      <c r="E32" s="2">
        <f>IF(A32="", "", ROUND(B32 * ($B$4/1200), 0))</f>
      </c>
      <c r="F32" s="2">
        <f>IF(A32="", "", D32 - E32)</f>
      </c>
      <c r="G32" s="2">
        <f>IF(A32="", "", B32 - F32)</f>
      </c>
    </row>
    <row r="33" spans="1:7" x14ac:dyDescent="0.25">
      <c r="A33">
        <f>IF(G32&gt;0, A32+1, "")</f>
      </c>
      <c r="B33" s="2">
        <f>IF(A33="", "", G32)</f>
      </c>
      <c r="C33" s="2">
        <f>IF(A33="", "", $B$7)</f>
      </c>
      <c r="D33" s="2">
        <f>IF(A33="", "", C33)</f>
      </c>
      <c r="E33" s="2">
        <f>IF(A33="", "", ROUND(B33 * ($B$4/1200), 0))</f>
      </c>
      <c r="F33" s="2">
        <f>IF(A33="", "", D33 - E33)</f>
      </c>
      <c r="G33" s="2">
        <f>IF(A33="", "", B33 - F33)</f>
      </c>
    </row>
    <row r="34" spans="1:7" x14ac:dyDescent="0.25">
      <c r="A34">
        <f>IF(G33&gt;0, A33+1, "")</f>
      </c>
      <c r="B34" s="2">
        <f>IF(A34="", "", G33)</f>
      </c>
      <c r="C34" s="2">
        <f>IF(A34="", "", $B$7)</f>
      </c>
      <c r="D34" s="2">
        <f>IF(A34="", "", C34)</f>
      </c>
      <c r="E34" s="2">
        <f>IF(A34="", "", ROUND(B34 * ($B$4/1200), 0))</f>
      </c>
      <c r="F34" s="2">
        <f>IF(A34="", "", D34 - E34)</f>
      </c>
      <c r="G34" s="2">
        <f>IF(A34="", "", B34 - F34)</f>
      </c>
    </row>
    <row r="35" spans="1:7" x14ac:dyDescent="0.25">
      <c r="A35">
        <f>IF(G34&gt;0, A34+1, "")</f>
      </c>
      <c r="B35" s="2">
        <f>IF(A35="", "", G34)</f>
      </c>
      <c r="C35" s="2">
        <f>IF(A35="", "", $B$7)</f>
      </c>
      <c r="D35" s="2">
        <f>IF(A35="", "", C35)</f>
      </c>
      <c r="E35" s="2">
        <f>IF(A35="", "", ROUND(B35 * ($B$4/1200), 0))</f>
      </c>
      <c r="F35" s="2">
        <f>IF(A35="", "", D35 - E35)</f>
      </c>
      <c r="G35" s="2">
        <f>IF(A35="", "", B35 - F35)</f>
      </c>
    </row>
    <row r="36" spans="1:7" x14ac:dyDescent="0.25">
      <c r="A36">
        <f>IF(G35&gt;0, A35+1, "")</f>
      </c>
      <c r="B36" s="2">
        <f>IF(A36="", "", G35)</f>
      </c>
      <c r="C36" s="2">
        <f>IF(A36="", "", $B$7)</f>
      </c>
      <c r="D36" s="2">
        <f>IF(A36="", "", C36)</f>
      </c>
      <c r="E36" s="2">
        <f>IF(A36="", "", ROUND(B36 * ($B$4/1200), 0))</f>
      </c>
      <c r="F36" s="2">
        <f>IF(A36="", "", D36 - E36)</f>
      </c>
      <c r="G36" s="2">
        <f>IF(A36="", "", B36 - F36)</f>
      </c>
    </row>
    <row r="37" spans="1:7" x14ac:dyDescent="0.25">
      <c r="A37">
        <f>IF(G36&gt;0, A36+1, "")</f>
      </c>
      <c r="B37" s="2">
        <f>IF(A37="", "", G36)</f>
      </c>
      <c r="C37" s="2">
        <f>IF(A37="", "", $B$7)</f>
      </c>
      <c r="D37" s="2">
        <f>IF(A37="", "", C37)</f>
      </c>
      <c r="E37" s="2">
        <f>IF(A37="", "", ROUND(B37 * ($B$4/1200), 0))</f>
      </c>
      <c r="F37" s="2">
        <f>IF(A37="", "", D37 - E37)</f>
      </c>
      <c r="G37" s="2">
        <f>IF(A37="", "", B37 - F37)</f>
      </c>
    </row>
    <row r="38" spans="1:7" x14ac:dyDescent="0.25">
      <c r="A38">
        <f>IF(G37&gt;0, A37+1, "")</f>
      </c>
      <c r="B38" s="2">
        <f>IF(A38="", "", G37)</f>
      </c>
      <c r="C38" s="2">
        <f>IF(A38="", "", $B$7)</f>
      </c>
      <c r="D38" s="2">
        <f>IF(A38="", "", C38)</f>
      </c>
      <c r="E38" s="2">
        <f>IF(A38="", "", ROUND(B38 * ($B$4/1200), 0))</f>
      </c>
      <c r="F38" s="2">
        <f>IF(A38="", "", D38 - E38)</f>
      </c>
      <c r="G38" s="2">
        <f>IF(A38="", "", B38 - F38)</f>
      </c>
    </row>
    <row r="39" spans="1:7" x14ac:dyDescent="0.25">
      <c r="A39">
        <f>IF(G38&gt;0, A38+1, "")</f>
      </c>
      <c r="B39" s="2">
        <f>IF(A39="", "", G38)</f>
      </c>
      <c r="C39" s="2">
        <f>IF(A39="", "", $B$7)</f>
      </c>
      <c r="D39" s="2">
        <f>IF(A39="", "", C39)</f>
      </c>
      <c r="E39" s="2">
        <f>IF(A39="", "", ROUND(B39 * ($B$4/1200), 0))</f>
      </c>
      <c r="F39" s="2">
        <f>IF(A39="", "", D39 - E39)</f>
      </c>
      <c r="G39" s="2">
        <f>IF(A39="", "", B39 - F39)</f>
      </c>
    </row>
    <row r="40" spans="1:7" x14ac:dyDescent="0.25">
      <c r="A40">
        <f>IF(G39&gt;0, A39+1, "")</f>
      </c>
      <c r="B40" s="2">
        <f>IF(A40="", "", G39)</f>
      </c>
      <c r="C40" s="2">
        <f>IF(A40="", "", $B$7)</f>
      </c>
      <c r="D40" s="2">
        <f>IF(A40="", "", C40)</f>
      </c>
      <c r="E40" s="2">
        <f>IF(A40="", "", ROUND(B40 * ($B$4/1200), 0))</f>
      </c>
      <c r="F40" s="2">
        <f>IF(A40="", "", D40 - E40)</f>
      </c>
      <c r="G40" s="2">
        <f>IF(A40="", "", B40 - F40)</f>
      </c>
    </row>
    <row r="41" spans="1:7" x14ac:dyDescent="0.25">
      <c r="A41">
        <f>IF(G40&gt;0, A40+1, "")</f>
      </c>
      <c r="B41" s="2">
        <f>IF(A41="", "", G40)</f>
      </c>
      <c r="C41" s="2">
        <f>IF(A41="", "", $B$7)</f>
      </c>
      <c r="D41" s="2">
        <f>IF(A41="", "", C41)</f>
      </c>
      <c r="E41" s="2">
        <f>IF(A41="", "", ROUND(B41 * ($B$4/1200), 0))</f>
      </c>
      <c r="F41" s="2">
        <f>IF(A41="", "", D41 - E41)</f>
      </c>
      <c r="G41" s="2">
        <f>IF(A41="", "", B41 - F41)</f>
      </c>
    </row>
    <row r="42" spans="1:7" x14ac:dyDescent="0.25">
      <c r="A42">
        <f>IF(G41&gt;0, A41+1, "")</f>
      </c>
      <c r="B42" s="2">
        <f>IF(A42="", "", G41)</f>
      </c>
      <c r="C42" s="2">
        <f>IF(A42="", "", $B$7)</f>
      </c>
      <c r="D42" s="2">
        <f>IF(A42="", "", C42)</f>
      </c>
      <c r="E42" s="2">
        <f>IF(A42="", "", ROUND(B42 * ($B$4/1200), 0))</f>
      </c>
      <c r="F42" s="2">
        <f>IF(A42="", "", D42 - E42)</f>
      </c>
      <c r="G42" s="2">
        <f>IF(A42="", "", B42 - F42)</f>
      </c>
    </row>
    <row r="43" spans="1:7" x14ac:dyDescent="0.25">
      <c r="A43">
        <f>IF(G42&gt;0, A42+1, "")</f>
      </c>
      <c r="B43" s="2">
        <f>IF(A43="", "", G42)</f>
      </c>
      <c r="C43" s="2">
        <f>IF(A43="", "", $B$7)</f>
      </c>
      <c r="D43" s="2">
        <f>IF(A43="", "", C43)</f>
      </c>
      <c r="E43" s="2">
        <f>IF(A43="", "", ROUND(B43 * ($B$4/1200), 0))</f>
      </c>
      <c r="F43" s="2">
        <f>IF(A43="", "", D43 - E43)</f>
      </c>
      <c r="G43" s="2">
        <f>IF(A43="", "", B43 - F43)</f>
      </c>
    </row>
    <row r="44" spans="1:7" x14ac:dyDescent="0.25">
      <c r="A44">
        <f>IF(G43&gt;0, A43+1, "")</f>
      </c>
      <c r="B44" s="2">
        <f>IF(A44="", "", G43)</f>
      </c>
      <c r="C44" s="2">
        <f>IF(A44="", "", $B$7)</f>
      </c>
      <c r="D44" s="2">
        <f>IF(A44="", "", C44)</f>
      </c>
      <c r="E44" s="2">
        <f>IF(A44="", "", ROUND(B44 * ($B$4/1200), 0))</f>
      </c>
      <c r="F44" s="2">
        <f>IF(A44="", "", D44 - E44)</f>
      </c>
      <c r="G44" s="2">
        <f>IF(A44="", "", B44 - F44)</f>
      </c>
    </row>
    <row r="45" spans="1:7" x14ac:dyDescent="0.25">
      <c r="A45">
        <f>IF(G44&gt;0, A44+1, "")</f>
      </c>
      <c r="B45" s="2">
        <f>IF(A45="", "", G44)</f>
      </c>
      <c r="C45" s="2">
        <f>IF(A45="", "", $B$7)</f>
      </c>
      <c r="D45" s="2">
        <f>IF(A45="", "", C45)</f>
      </c>
      <c r="E45" s="2">
        <f>IF(A45="", "", ROUND(B45 * ($B$4/1200), 0))</f>
      </c>
      <c r="F45" s="2">
        <f>IF(A45="", "", D45 - E45)</f>
      </c>
      <c r="G45" s="2">
        <f>IF(A45="", "", B45 - F45)</f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Customers Master</vt:lpstr>
      <vt:lpstr>Loan Accounts</vt:lpstr>
      <vt:lpstr>General Ledger</vt:lpstr>
      <vt:lpstr>Amortization Calculator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FinBook App</dc:creator>
  <dc:title/>
  <dc:subject/>
  <dc:description/>
  <cp:keywords/>
  <cp:category/>
  <cp:lastModifiedBy>Unknown</cp:lastModifiedBy>
  <dcterms:created xsi:type="dcterms:W3CDTF">2026-07-14T13:20:23Z</dcterms:created>
  <dcterms:modified xsi:type="dcterms:W3CDTF">2026-07-14T13:20:23Z</dcterms:modified>
</cp:coreProperties>
</file>